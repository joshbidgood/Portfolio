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https://d.docs.live.net/13248a84c3e84688/"/>
    </mc:Choice>
  </mc:AlternateContent>
  <xr:revisionPtr revIDLastSave="1146" documentId="8_{80315D24-23EB-4E2A-B34D-14E8393AFEBB}" xr6:coauthVersionLast="47" xr6:coauthVersionMax="47" xr10:uidLastSave="{62A948BB-34EF-4A75-8C23-C5FA8D27E070}"/>
  <bookViews>
    <workbookView xWindow="-120" yWindow="-120" windowWidth="17520" windowHeight="12480" xr2:uid="{7B60E725-7943-4EBD-A48E-29AA8A908FDC}"/>
  </bookViews>
  <sheets>
    <sheet name="Bargara Cash Summary" sheetId="1" r:id="rId1"/>
    <sheet name="Bargara Cash Data"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1" l="1"/>
  <c r="E5" i="1"/>
  <c r="E6" i="1"/>
  <c r="E7" i="1"/>
  <c r="E9" i="1"/>
  <c r="E10" i="1"/>
  <c r="E11" i="1"/>
  <c r="E12" i="1"/>
  <c r="E13" i="1"/>
  <c r="E14" i="1"/>
  <c r="E3" i="1"/>
  <c r="E8" i="1" l="1"/>
  <c r="E16" i="1" s="1"/>
  <c r="E18" i="1" l="1"/>
  <c r="E20" i="1" s="1"/>
</calcChain>
</file>

<file path=xl/sharedStrings.xml><?xml version="1.0" encoding="utf-8"?>
<sst xmlns="http://schemas.openxmlformats.org/spreadsheetml/2006/main" count="27" uniqueCount="24">
  <si>
    <t>DRAWER</t>
  </si>
  <si>
    <t>REG 1</t>
  </si>
  <si>
    <t>REG 2</t>
  </si>
  <si>
    <t>TOTAL</t>
  </si>
  <si>
    <t>SUB-TOTAL</t>
  </si>
  <si>
    <t>FLOAT</t>
  </si>
  <si>
    <t>BANK</t>
  </si>
  <si>
    <t>DIFFERENCE</t>
  </si>
  <si>
    <t>BULK</t>
  </si>
  <si>
    <t>DATE</t>
  </si>
  <si>
    <t>BANKING</t>
  </si>
  <si>
    <t>$100.00</t>
  </si>
  <si>
    <t>$50.00</t>
  </si>
  <si>
    <t>$20.00</t>
  </si>
  <si>
    <t>$10.00</t>
  </si>
  <si>
    <t>$5.00</t>
  </si>
  <si>
    <t>$2.00</t>
  </si>
  <si>
    <t>$1.00</t>
  </si>
  <si>
    <t>50c</t>
  </si>
  <si>
    <t>20c</t>
  </si>
  <si>
    <t>10c</t>
  </si>
  <si>
    <t>5c</t>
  </si>
  <si>
    <t>DAILY
 TOTAL</t>
  </si>
  <si>
    <r>
      <rPr>
        <b/>
        <sz val="12"/>
        <color theme="1"/>
        <rFont val="Aptos Narrow"/>
        <family val="2"/>
        <scheme val="minor"/>
      </rPr>
      <t xml:space="preserve">Instructions for use: </t>
    </r>
    <r>
      <rPr>
        <sz val="12"/>
        <color theme="1"/>
        <rFont val="Aptos Narrow"/>
        <family val="2"/>
        <scheme val="minor"/>
      </rPr>
      <t xml:space="preserve">
1. Enter dollar amounts in the white boxes.
2. Enter banking amount in the purple box.
3. Press sumbit to save a record of this cash summary. This button will overwrite the previous entry for today. 
4. To reset this form, press the reset button. There is no undo feature once this is done.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</si>
</sst>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quot;$&quot;* #,##0.00_-;_-&quot;$&quot;* &quot;-&quot;??_-;_-@_-"/>
    <numFmt numFmtId="164" formatCode="&quot;$&quot;#,##0.00"/>
    <numFmt numFmtId="165" formatCode="[$-C09]dddd\,\ d\ mmmm\ yyyy;@"/>
  </numFmts>
  <fonts count="8" x14ac:knownFonts="1">
    <font>
      <sz val="11"/>
      <color theme="1"/>
      <name val="Aptos Narrow"/>
      <family val="2"/>
      <scheme val="minor"/>
    </font>
    <font>
      <sz val="11"/>
      <color theme="1"/>
      <name val="Aptos Narrow"/>
      <family val="2"/>
      <scheme val="minor"/>
    </font>
    <font>
      <sz val="14"/>
      <color theme="1"/>
      <name val="Aptos Narrow"/>
      <family val="2"/>
      <scheme val="minor"/>
    </font>
    <font>
      <sz val="16"/>
      <color theme="1"/>
      <name val="Aptos Narrow"/>
      <family val="2"/>
      <scheme val="minor"/>
    </font>
    <font>
      <b/>
      <sz val="16"/>
      <color theme="1"/>
      <name val="Aptos Narrow"/>
      <family val="2"/>
      <scheme val="minor"/>
    </font>
    <font>
      <b/>
      <sz val="14"/>
      <color theme="1"/>
      <name val="Aptos Narrow"/>
      <family val="2"/>
      <scheme val="minor"/>
    </font>
    <font>
      <sz val="12"/>
      <color theme="1"/>
      <name val="Aptos Narrow"/>
      <family val="2"/>
      <scheme val="minor"/>
    </font>
    <font>
      <b/>
      <sz val="12"/>
      <color theme="1"/>
      <name val="Aptos Narrow"/>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9" tint="0.39997558519241921"/>
        <bgColor indexed="64"/>
      </patternFill>
    </fill>
    <fill>
      <patternFill patternType="solid">
        <fgColor theme="8" tint="0.7999816888943144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44" fontId="1" fillId="0" borderId="0" applyFont="0" applyFill="0" applyBorder="0" applyAlignment="0" applyProtection="0"/>
  </cellStyleXfs>
  <cellXfs count="42">
    <xf numFmtId="0" fontId="0" fillId="0" borderId="0" xfId="0"/>
    <xf numFmtId="0" fontId="3" fillId="0" borderId="0" xfId="0" applyFont="1" applyAlignment="1">
      <alignment horizontal="center"/>
    </xf>
    <xf numFmtId="44" fontId="5" fillId="2" borderId="10" xfId="1" applyFont="1" applyFill="1" applyBorder="1" applyAlignment="1">
      <alignment horizontal="right"/>
    </xf>
    <xf numFmtId="0" fontId="5" fillId="2" borderId="11" xfId="0" applyFont="1" applyFill="1" applyBorder="1" applyAlignment="1">
      <alignment horizontal="right"/>
    </xf>
    <xf numFmtId="0" fontId="5" fillId="2" borderId="4" xfId="0" applyFont="1" applyFill="1" applyBorder="1" applyAlignment="1">
      <alignment horizontal="right" vertical="center"/>
    </xf>
    <xf numFmtId="0" fontId="5" fillId="2" borderId="6" xfId="0" applyFont="1" applyFill="1" applyBorder="1" applyAlignment="1">
      <alignment horizontal="right" vertical="center"/>
    </xf>
    <xf numFmtId="0" fontId="2" fillId="2" borderId="7" xfId="0" applyFont="1" applyFill="1" applyBorder="1"/>
    <xf numFmtId="44" fontId="2" fillId="3" borderId="5" xfId="1" applyFont="1" applyFill="1" applyBorder="1" applyAlignment="1">
      <alignment horizontal="center"/>
    </xf>
    <xf numFmtId="44" fontId="2" fillId="3" borderId="8" xfId="1" applyFont="1" applyFill="1" applyBorder="1" applyAlignment="1">
      <alignment horizontal="center"/>
    </xf>
    <xf numFmtId="44" fontId="2" fillId="3" borderId="5" xfId="1" applyFont="1" applyFill="1" applyBorder="1"/>
    <xf numFmtId="44" fontId="2" fillId="3" borderId="8" xfId="1" applyFont="1" applyFill="1" applyBorder="1"/>
    <xf numFmtId="44" fontId="5" fillId="3" borderId="5" xfId="1" applyFont="1" applyFill="1" applyBorder="1" applyAlignment="1">
      <alignment horizontal="center"/>
    </xf>
    <xf numFmtId="0" fontId="4" fillId="0" borderId="0" xfId="0" applyFont="1" applyAlignment="1">
      <alignment horizontal="center"/>
    </xf>
    <xf numFmtId="164" fontId="0" fillId="0" borderId="0" xfId="0" applyNumberFormat="1"/>
    <xf numFmtId="0" fontId="2" fillId="2" borderId="7" xfId="0" applyFont="1" applyFill="1" applyBorder="1" applyAlignment="1">
      <alignment horizontal="center"/>
    </xf>
    <xf numFmtId="0" fontId="0" fillId="0" borderId="0" xfId="0" applyAlignment="1">
      <alignment horizontal="center" vertical="center"/>
    </xf>
    <xf numFmtId="164" fontId="2" fillId="0" borderId="0" xfId="0" applyNumberFormat="1" applyFont="1" applyAlignment="1">
      <alignment horizontal="center" vertical="center" wrapText="1"/>
    </xf>
    <xf numFmtId="164" fontId="2" fillId="0" borderId="0" xfId="1" applyNumberFormat="1" applyFont="1" applyAlignment="1">
      <alignment horizontal="center" vertical="center" wrapText="1"/>
    </xf>
    <xf numFmtId="164" fontId="0" fillId="0" borderId="0" xfId="1" applyNumberFormat="1" applyFont="1"/>
    <xf numFmtId="0" fontId="2" fillId="2" borderId="1" xfId="0" applyFont="1" applyFill="1" applyBorder="1"/>
    <xf numFmtId="0" fontId="2" fillId="2" borderId="2" xfId="0" applyFont="1" applyFill="1" applyBorder="1"/>
    <xf numFmtId="44" fontId="5" fillId="3" borderId="3" xfId="1" applyFont="1" applyFill="1" applyBorder="1"/>
    <xf numFmtId="0" fontId="2" fillId="2" borderId="4" xfId="0" applyFont="1" applyFill="1" applyBorder="1"/>
    <xf numFmtId="0" fontId="2" fillId="2" borderId="0" xfId="0" applyFont="1" applyFill="1"/>
    <xf numFmtId="0" fontId="2" fillId="2" borderId="6" xfId="0" applyFont="1" applyFill="1" applyBorder="1"/>
    <xf numFmtId="0" fontId="5" fillId="4" borderId="4" xfId="0" applyFont="1" applyFill="1" applyBorder="1" applyAlignment="1">
      <alignment horizontal="right" vertical="center"/>
    </xf>
    <xf numFmtId="44" fontId="2" fillId="0" borderId="0" xfId="1" applyFont="1" applyBorder="1" applyAlignment="1" applyProtection="1">
      <alignment horizontal="center"/>
      <protection locked="0"/>
    </xf>
    <xf numFmtId="44" fontId="5" fillId="4" borderId="5" xfId="1" applyFont="1" applyFill="1" applyBorder="1" applyProtection="1">
      <protection locked="0"/>
    </xf>
    <xf numFmtId="44" fontId="5" fillId="2" borderId="0" xfId="1" applyFont="1" applyFill="1" applyBorder="1" applyAlignment="1" applyProtection="1">
      <alignment horizontal="center"/>
    </xf>
    <xf numFmtId="165" fontId="2" fillId="0" borderId="0" xfId="0" applyNumberFormat="1" applyFont="1" applyAlignment="1">
      <alignment horizontal="center" vertical="center" wrapText="1"/>
    </xf>
    <xf numFmtId="165" fontId="2" fillId="0" borderId="0" xfId="0" applyNumberFormat="1" applyFont="1" applyAlignment="1">
      <alignment horizontal="left" vertical="center" wrapText="1"/>
    </xf>
    <xf numFmtId="165" fontId="0" fillId="0" borderId="0" xfId="0" applyNumberFormat="1" applyAlignment="1">
      <alignment horizontal="left"/>
    </xf>
    <xf numFmtId="0" fontId="6" fillId="0" borderId="0" xfId="0" applyFont="1" applyAlignment="1">
      <alignment horizontal="left" wrapText="1"/>
    </xf>
    <xf numFmtId="0" fontId="6" fillId="0" borderId="0" xfId="0" applyFont="1" applyAlignment="1">
      <alignment horizontal="left"/>
    </xf>
    <xf numFmtId="0" fontId="4" fillId="2" borderId="9" xfId="0" applyFont="1" applyFill="1" applyBorder="1" applyAlignment="1">
      <alignment horizontal="right" vertical="center"/>
    </xf>
    <xf numFmtId="0" fontId="4" fillId="2" borderId="10" xfId="0" applyFont="1" applyFill="1" applyBorder="1" applyAlignment="1">
      <alignment horizontal="right" vertical="center"/>
    </xf>
    <xf numFmtId="0" fontId="4" fillId="2" borderId="1"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7"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8" xfId="0" applyFont="1" applyFill="1" applyBorder="1" applyAlignment="1">
      <alignment horizontal="center" vertical="center"/>
    </xf>
  </cellXfs>
  <cellStyles count="2">
    <cellStyle name="Currency" xfId="1" builtinId="4"/>
    <cellStyle name="Normal" xfId="0" builtinId="0"/>
  </cellStyles>
  <dxfs count="16">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5" formatCode="[$-C09]dddd\,\ d\ mmmm\ yyyy;@"/>
      <alignment horizontal="left" textRotation="0" indent="0" justifyLastLine="0" shrinkToFit="0" readingOrder="0"/>
    </dxf>
    <dxf>
      <font>
        <strike val="0"/>
        <outline val="0"/>
        <shadow val="0"/>
        <u val="none"/>
        <vertAlign val="baseline"/>
        <sz val="14"/>
        <color theme="1"/>
        <name val="Aptos Narrow"/>
        <family val="2"/>
        <scheme val="minor"/>
      </font>
      <numFmt numFmtId="164" formatCode="&quot;$&quot;#,##0.00"/>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7</xdr:row>
          <xdr:rowOff>0</xdr:rowOff>
        </xdr:from>
        <xdr:to>
          <xdr:col>8</xdr:col>
          <xdr:colOff>419100</xdr:colOff>
          <xdr:row>10</xdr:row>
          <xdr:rowOff>152400</xdr:rowOff>
        </xdr:to>
        <xdr:sp macro="" textlink="">
          <xdr:nvSpPr>
            <xdr:cNvPr id="1028" name="RESET_BUTTON_BARGARA"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xdr:row>
          <xdr:rowOff>57150</xdr:rowOff>
        </xdr:from>
        <xdr:to>
          <xdr:col>8</xdr:col>
          <xdr:colOff>419100</xdr:colOff>
          <xdr:row>6</xdr:row>
          <xdr:rowOff>209550</xdr:rowOff>
        </xdr:to>
        <xdr:sp macro="" textlink="">
          <xdr:nvSpPr>
            <xdr:cNvPr id="1029" name="SUBMIT_BUTTON_BARGARA"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C040560-53D2-4D0E-81C9-CDC80CA47673}" name="Bargara" displayName="Bargara" ref="A1:O4" totalsRowShown="0" headerRowDxfId="15">
  <autoFilter ref="A1:O4" xr:uid="{1C040560-53D2-4D0E-81C9-CDC80CA476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E4E77775-190D-4BF9-AB55-DFE6B39CE846}" name="DATE" dataDxfId="14"/>
    <tableColumn id="2" xr3:uid="{ED6296B0-38E8-4C8D-BB44-8066C54B0D41}" name="DAILY_x000a_ TOTAL" dataDxfId="13"/>
    <tableColumn id="3" xr3:uid="{98A546B1-9D59-4145-9B99-18E5BBDD494E}" name="BANKING" dataDxfId="12"/>
    <tableColumn id="4" xr3:uid="{0703468D-3444-4B94-BBB6-A3BD670D7BD6}" name="DIFFERENCE" dataDxfId="11"/>
    <tableColumn id="5" xr3:uid="{0D5A0D1A-6733-4CDE-AB66-4A45DEBF4964}" name="$100.00" dataDxfId="10" dataCellStyle="Currency"/>
    <tableColumn id="6" xr3:uid="{114DA331-B7A0-42E5-8FC0-34A6A6112796}" name="$50.00" dataDxfId="9" dataCellStyle="Currency"/>
    <tableColumn id="7" xr3:uid="{A2BF39E3-5543-4657-A5B3-76641F406947}" name="$20.00" dataDxfId="8" dataCellStyle="Currency"/>
    <tableColumn id="8" xr3:uid="{D1C3E863-0632-435D-A3CA-12967C64E6AC}" name="$10.00" dataDxfId="7" dataCellStyle="Currency"/>
    <tableColumn id="9" xr3:uid="{36D9E70F-E8B6-49CB-8E33-2D37CE1BE8E5}" name="$5.00" dataDxfId="6" dataCellStyle="Currency"/>
    <tableColumn id="10" xr3:uid="{9D05D81A-2180-4C24-B393-8C96FA3101B2}" name="$2.00" dataDxfId="5" dataCellStyle="Currency"/>
    <tableColumn id="11" xr3:uid="{654A2EEF-9A47-496B-8A29-4E6E84B2F1B1}" name="$1.00" dataDxfId="4" dataCellStyle="Currency"/>
    <tableColumn id="12" xr3:uid="{7C13B3B8-595A-41B4-8162-9E569EA7E52D}" name="50c" dataDxfId="3" dataCellStyle="Currency"/>
    <tableColumn id="13" xr3:uid="{20D44197-65BD-4FF8-99D9-5AC1D16285DD}" name="20c" dataDxfId="2" dataCellStyle="Currency"/>
    <tableColumn id="14" xr3:uid="{0FB2DC16-CABD-45B5-9586-0015F968F455}" name="10c" dataDxfId="1" dataCellStyle="Currency"/>
    <tableColumn id="15" xr3:uid="{CA6C235A-F89E-48DA-99A3-A10BAB5899F4}" name="5c" dataDxfId="0" dataCellStyle="Currenc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9FB3B-8B56-4D66-841C-88A0FD04E0E8}">
  <sheetPr codeName="Sheet1"/>
  <dimension ref="A1:J20"/>
  <sheetViews>
    <sheetView showGridLines="0" tabSelected="1" workbookViewId="0">
      <selection activeCell="B3" sqref="B3"/>
    </sheetView>
  </sheetViews>
  <sheetFormatPr defaultRowHeight="15" x14ac:dyDescent="0.25"/>
  <cols>
    <col min="1" max="5" width="15.7109375" customWidth="1"/>
  </cols>
  <sheetData>
    <row r="1" spans="1:10" s="1" customFormat="1" ht="20.100000000000001" customHeight="1" x14ac:dyDescent="0.35">
      <c r="A1" s="34"/>
      <c r="B1" s="36" t="s">
        <v>0</v>
      </c>
      <c r="C1" s="38" t="s">
        <v>1</v>
      </c>
      <c r="D1" s="38" t="s">
        <v>2</v>
      </c>
      <c r="E1" s="40" t="s">
        <v>3</v>
      </c>
    </row>
    <row r="2" spans="1:10" s="1" customFormat="1" ht="20.100000000000001" customHeight="1" thickBot="1" x14ac:dyDescent="0.4">
      <c r="A2" s="35"/>
      <c r="B2" s="37"/>
      <c r="C2" s="39"/>
      <c r="D2" s="39"/>
      <c r="E2" s="41"/>
    </row>
    <row r="3" spans="1:10" s="1" customFormat="1" ht="20.100000000000001" customHeight="1" x14ac:dyDescent="0.35">
      <c r="A3" s="2">
        <v>100</v>
      </c>
      <c r="B3" s="26"/>
      <c r="C3" s="26"/>
      <c r="D3" s="26"/>
      <c r="E3" s="7">
        <f>B3+C3+D3</f>
        <v>0</v>
      </c>
    </row>
    <row r="4" spans="1:10" s="1" customFormat="1" ht="20.100000000000001" customHeight="1" x14ac:dyDescent="0.35">
      <c r="A4" s="2">
        <v>50</v>
      </c>
      <c r="B4" s="26"/>
      <c r="C4" s="26"/>
      <c r="D4" s="26"/>
      <c r="E4" s="7">
        <f>B4+C4+D4</f>
        <v>0</v>
      </c>
    </row>
    <row r="5" spans="1:10" s="1" customFormat="1" ht="20.100000000000001" customHeight="1" x14ac:dyDescent="0.35">
      <c r="A5" s="2">
        <v>20</v>
      </c>
      <c r="B5" s="26"/>
      <c r="C5" s="26"/>
      <c r="D5" s="26"/>
      <c r="E5" s="7">
        <f>B5+C5+D5</f>
        <v>0</v>
      </c>
    </row>
    <row r="6" spans="1:10" s="1" customFormat="1" ht="20.100000000000001" customHeight="1" x14ac:dyDescent="0.35">
      <c r="A6" s="2">
        <v>10</v>
      </c>
      <c r="B6" s="26"/>
      <c r="C6" s="26"/>
      <c r="D6" s="26"/>
      <c r="E6" s="7">
        <f>B6+C6+D6</f>
        <v>0</v>
      </c>
    </row>
    <row r="7" spans="1:10" s="1" customFormat="1" ht="20.100000000000001" customHeight="1" x14ac:dyDescent="0.35">
      <c r="A7" s="2">
        <v>5</v>
      </c>
      <c r="B7" s="26"/>
      <c r="C7" s="26"/>
      <c r="D7" s="26"/>
      <c r="E7" s="7">
        <f>B7+C7+D7</f>
        <v>0</v>
      </c>
    </row>
    <row r="8" spans="1:10" s="12" customFormat="1" ht="20.100000000000001" customHeight="1" x14ac:dyDescent="0.35">
      <c r="A8" s="2" t="s">
        <v>4</v>
      </c>
      <c r="B8" s="28"/>
      <c r="C8" s="28"/>
      <c r="D8" s="28"/>
      <c r="E8" s="11">
        <f>SUM(E3:E7)</f>
        <v>0</v>
      </c>
    </row>
    <row r="9" spans="1:10" s="1" customFormat="1" ht="20.100000000000001" customHeight="1" x14ac:dyDescent="0.35">
      <c r="A9" s="2">
        <v>2</v>
      </c>
      <c r="B9" s="26"/>
      <c r="C9" s="26"/>
      <c r="D9" s="26"/>
      <c r="E9" s="7">
        <f t="shared" ref="E9:E14" si="0">B9+C9+D9</f>
        <v>0</v>
      </c>
    </row>
    <row r="10" spans="1:10" s="1" customFormat="1" ht="20.100000000000001" customHeight="1" x14ac:dyDescent="0.35">
      <c r="A10" s="2">
        <v>1</v>
      </c>
      <c r="B10" s="26"/>
      <c r="C10" s="26"/>
      <c r="D10" s="26"/>
      <c r="E10" s="7">
        <f t="shared" si="0"/>
        <v>0</v>
      </c>
    </row>
    <row r="11" spans="1:10" s="1" customFormat="1" ht="20.100000000000001" customHeight="1" x14ac:dyDescent="0.35">
      <c r="A11" s="2">
        <v>0.5</v>
      </c>
      <c r="B11" s="26"/>
      <c r="C11" s="26"/>
      <c r="D11" s="26"/>
      <c r="E11" s="7">
        <f t="shared" si="0"/>
        <v>0</v>
      </c>
    </row>
    <row r="12" spans="1:10" s="1" customFormat="1" ht="20.100000000000001" customHeight="1" x14ac:dyDescent="0.35">
      <c r="A12" s="2">
        <v>0.2</v>
      </c>
      <c r="B12" s="26"/>
      <c r="C12" s="26"/>
      <c r="D12" s="26"/>
      <c r="E12" s="7">
        <f t="shared" si="0"/>
        <v>0</v>
      </c>
      <c r="G12" s="32" t="s">
        <v>23</v>
      </c>
      <c r="H12" s="33"/>
      <c r="I12" s="33"/>
      <c r="J12" s="33"/>
    </row>
    <row r="13" spans="1:10" s="1" customFormat="1" ht="20.100000000000001" customHeight="1" x14ac:dyDescent="0.35">
      <c r="A13" s="2">
        <v>0.1</v>
      </c>
      <c r="B13" s="26"/>
      <c r="C13" s="26"/>
      <c r="D13" s="26"/>
      <c r="E13" s="7">
        <f t="shared" si="0"/>
        <v>0</v>
      </c>
      <c r="G13" s="33"/>
      <c r="H13" s="33"/>
      <c r="I13" s="33"/>
      <c r="J13" s="33"/>
    </row>
    <row r="14" spans="1:10" s="1" customFormat="1" ht="20.100000000000001" customHeight="1" x14ac:dyDescent="0.35">
      <c r="A14" s="2">
        <v>0.05</v>
      </c>
      <c r="B14" s="26"/>
      <c r="C14" s="26"/>
      <c r="D14" s="26"/>
      <c r="E14" s="7">
        <f t="shared" si="0"/>
        <v>0</v>
      </c>
      <c r="G14" s="33"/>
      <c r="H14" s="33"/>
      <c r="I14" s="33"/>
      <c r="J14" s="33"/>
    </row>
    <row r="15" spans="1:10" s="1" customFormat="1" ht="20.100000000000001" customHeight="1" thickBot="1" x14ac:dyDescent="0.4">
      <c r="A15" s="3" t="s">
        <v>8</v>
      </c>
      <c r="B15" s="14"/>
      <c r="C15" s="14"/>
      <c r="D15" s="14"/>
      <c r="E15" s="8">
        <v>450</v>
      </c>
      <c r="G15" s="33"/>
      <c r="H15" s="33"/>
      <c r="I15" s="33"/>
      <c r="J15" s="33"/>
    </row>
    <row r="16" spans="1:10" ht="20.100000000000001" customHeight="1" x14ac:dyDescent="0.3">
      <c r="A16" s="4" t="s">
        <v>4</v>
      </c>
      <c r="B16" s="19"/>
      <c r="C16" s="20"/>
      <c r="D16" s="20"/>
      <c r="E16" s="21">
        <f>SUM(E8:E15)</f>
        <v>450</v>
      </c>
      <c r="G16" s="33"/>
      <c r="H16" s="33"/>
      <c r="I16" s="33"/>
      <c r="J16" s="33"/>
    </row>
    <row r="17" spans="1:10" ht="20.100000000000001" customHeight="1" x14ac:dyDescent="0.3">
      <c r="A17" s="4" t="s">
        <v>5</v>
      </c>
      <c r="B17" s="22"/>
      <c r="C17" s="23"/>
      <c r="D17" s="23"/>
      <c r="E17" s="9">
        <v>4000</v>
      </c>
      <c r="G17" s="33"/>
      <c r="H17" s="33"/>
      <c r="I17" s="33"/>
      <c r="J17" s="33"/>
    </row>
    <row r="18" spans="1:10" ht="20.100000000000001" customHeight="1" x14ac:dyDescent="0.3">
      <c r="A18" s="4" t="s">
        <v>4</v>
      </c>
      <c r="B18" s="22"/>
      <c r="C18" s="23"/>
      <c r="D18" s="23"/>
      <c r="E18" s="9">
        <f>E16-E17</f>
        <v>-3550</v>
      </c>
      <c r="G18" s="33"/>
      <c r="H18" s="33"/>
      <c r="I18" s="33"/>
      <c r="J18" s="33"/>
    </row>
    <row r="19" spans="1:10" ht="20.100000000000001" customHeight="1" x14ac:dyDescent="0.3">
      <c r="A19" s="25" t="s">
        <v>6</v>
      </c>
      <c r="B19" s="22"/>
      <c r="C19" s="23"/>
      <c r="D19" s="23"/>
      <c r="E19" s="27"/>
      <c r="G19" s="33"/>
      <c r="H19" s="33"/>
      <c r="I19" s="33"/>
      <c r="J19" s="33"/>
    </row>
    <row r="20" spans="1:10" ht="19.5" thickBot="1" x14ac:dyDescent="0.35">
      <c r="A20" s="5" t="s">
        <v>7</v>
      </c>
      <c r="B20" s="24"/>
      <c r="C20" s="6"/>
      <c r="D20" s="6"/>
      <c r="E20" s="10">
        <f>E18-E19</f>
        <v>-3550</v>
      </c>
      <c r="G20" s="33"/>
      <c r="H20" s="33"/>
      <c r="I20" s="33"/>
      <c r="J20" s="33"/>
    </row>
  </sheetData>
  <sheetProtection sheet="1" objects="1" scenarios="1" selectLockedCells="1"/>
  <mergeCells count="6">
    <mergeCell ref="G12:J20"/>
    <mergeCell ref="A1:A2"/>
    <mergeCell ref="B1:B2"/>
    <mergeCell ref="C1:C2"/>
    <mergeCell ref="D1:D2"/>
    <mergeCell ref="E1:E2"/>
  </mergeCells>
  <pageMargins left="0.7" right="0.7" top="0.75" bottom="0.75" header="0.3" footer="0.3"/>
  <drawing r:id="rId1"/>
  <legacyDrawing r:id="rId2"/>
  <controls>
    <mc:AlternateContent xmlns:mc="http://schemas.openxmlformats.org/markup-compatibility/2006">
      <mc:Choice Requires="x14">
        <control shapeId="1029" r:id="rId3" name="SUBMIT_BUTTON_BARGARA">
          <controlPr defaultSize="0" autoLine="0" r:id="rId4">
            <anchor moveWithCells="1">
              <from>
                <xdr:col>6</xdr:col>
                <xdr:colOff>19050</xdr:colOff>
                <xdr:row>3</xdr:row>
                <xdr:rowOff>57150</xdr:rowOff>
              </from>
              <to>
                <xdr:col>8</xdr:col>
                <xdr:colOff>419100</xdr:colOff>
                <xdr:row>6</xdr:row>
                <xdr:rowOff>209550</xdr:rowOff>
              </to>
            </anchor>
          </controlPr>
        </control>
      </mc:Choice>
      <mc:Fallback>
        <control shapeId="1029" r:id="rId3" name="SUBMIT_BUTTON_BARGARA"/>
      </mc:Fallback>
    </mc:AlternateContent>
    <mc:AlternateContent xmlns:mc="http://schemas.openxmlformats.org/markup-compatibility/2006">
      <mc:Choice Requires="x14">
        <control shapeId="1028" r:id="rId5" name="RESET_BUTTON_BARGARA">
          <controlPr defaultSize="0" autoLine="0" r:id="rId6">
            <anchor moveWithCells="1">
              <from>
                <xdr:col>6</xdr:col>
                <xdr:colOff>19050</xdr:colOff>
                <xdr:row>7</xdr:row>
                <xdr:rowOff>0</xdr:rowOff>
              </from>
              <to>
                <xdr:col>8</xdr:col>
                <xdr:colOff>419100</xdr:colOff>
                <xdr:row>10</xdr:row>
                <xdr:rowOff>152400</xdr:rowOff>
              </to>
            </anchor>
          </controlPr>
        </control>
      </mc:Choice>
      <mc:Fallback>
        <control shapeId="1028" r:id="rId5" name="RESET_BUTTON_BARGAR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A97F6-8A21-46FC-80D0-CD6D75D89C31}">
  <sheetPr codeName="Sheet2"/>
  <dimension ref="A1:O4"/>
  <sheetViews>
    <sheetView workbookViewId="0">
      <selection activeCell="A4" sqref="A4:XFD4"/>
    </sheetView>
  </sheetViews>
  <sheetFormatPr defaultRowHeight="15" x14ac:dyDescent="0.25"/>
  <cols>
    <col min="1" max="1" width="32.7109375" style="31" customWidth="1"/>
    <col min="2" max="4" width="18.7109375" style="13" customWidth="1"/>
    <col min="5" max="15" width="18.7109375" style="18" customWidth="1"/>
  </cols>
  <sheetData>
    <row r="1" spans="1:15" s="15" customFormat="1" ht="36" customHeight="1" x14ac:dyDescent="0.25">
      <c r="A1" s="29" t="s">
        <v>9</v>
      </c>
      <c r="B1" s="16" t="s">
        <v>22</v>
      </c>
      <c r="C1" s="16" t="s">
        <v>10</v>
      </c>
      <c r="D1" s="16" t="s">
        <v>7</v>
      </c>
      <c r="E1" s="17" t="s">
        <v>11</v>
      </c>
      <c r="F1" s="17" t="s">
        <v>12</v>
      </c>
      <c r="G1" s="17" t="s">
        <v>13</v>
      </c>
      <c r="H1" s="17" t="s">
        <v>14</v>
      </c>
      <c r="I1" s="17" t="s">
        <v>15</v>
      </c>
      <c r="J1" s="17" t="s">
        <v>16</v>
      </c>
      <c r="K1" s="17" t="s">
        <v>17</v>
      </c>
      <c r="L1" s="17" t="s">
        <v>18</v>
      </c>
      <c r="M1" s="17" t="s">
        <v>19</v>
      </c>
      <c r="N1" s="17" t="s">
        <v>20</v>
      </c>
      <c r="O1" s="17" t="s">
        <v>21</v>
      </c>
    </row>
    <row r="2" spans="1:15" ht="18.75" x14ac:dyDescent="0.25">
      <c r="A2" s="30">
        <v>45659</v>
      </c>
      <c r="B2" s="16">
        <v>2661.7</v>
      </c>
      <c r="C2" s="16">
        <v>2607.65</v>
      </c>
      <c r="D2" s="16">
        <v>54.05</v>
      </c>
      <c r="E2" s="17">
        <v>100</v>
      </c>
      <c r="F2" s="17">
        <v>1500</v>
      </c>
      <c r="G2" s="17">
        <v>2500</v>
      </c>
      <c r="H2" s="17">
        <v>1100</v>
      </c>
      <c r="I2" s="17">
        <v>610</v>
      </c>
      <c r="J2" s="17">
        <v>178</v>
      </c>
      <c r="K2" s="17">
        <v>147</v>
      </c>
      <c r="L2" s="17">
        <v>36</v>
      </c>
      <c r="M2" s="17">
        <v>24.6</v>
      </c>
      <c r="N2" s="17">
        <v>12.3</v>
      </c>
      <c r="O2" s="17">
        <v>3.8</v>
      </c>
    </row>
    <row r="3" spans="1:15" ht="18.75" x14ac:dyDescent="0.25">
      <c r="A3" s="30">
        <v>45660</v>
      </c>
      <c r="B3" s="16">
        <v>963.65</v>
      </c>
      <c r="C3" s="16">
        <v>907.2</v>
      </c>
      <c r="D3" s="16">
        <v>56.45</v>
      </c>
      <c r="E3" s="17">
        <v>0</v>
      </c>
      <c r="F3" s="17">
        <v>550</v>
      </c>
      <c r="G3" s="17">
        <v>2200</v>
      </c>
      <c r="H3" s="17">
        <v>990</v>
      </c>
      <c r="I3" s="17">
        <v>510</v>
      </c>
      <c r="J3" s="17">
        <v>74</v>
      </c>
      <c r="K3" s="17">
        <v>153</v>
      </c>
      <c r="L3" s="17">
        <v>12</v>
      </c>
      <c r="M3" s="17">
        <v>9</v>
      </c>
      <c r="N3" s="17">
        <v>12.6</v>
      </c>
      <c r="O3" s="17">
        <v>3.05</v>
      </c>
    </row>
    <row r="4" spans="1:15" ht="18.75" x14ac:dyDescent="0.25">
      <c r="A4" s="30">
        <v>45661</v>
      </c>
      <c r="B4" s="16">
        <v>-3550</v>
      </c>
      <c r="C4" s="16"/>
      <c r="D4" s="16">
        <v>-3550</v>
      </c>
      <c r="E4" s="17">
        <v>0</v>
      </c>
      <c r="F4" s="17">
        <v>0</v>
      </c>
      <c r="G4" s="17">
        <v>0</v>
      </c>
      <c r="H4" s="17">
        <v>0</v>
      </c>
      <c r="I4" s="17">
        <v>0</v>
      </c>
      <c r="J4" s="17">
        <v>0</v>
      </c>
      <c r="K4" s="17">
        <v>0</v>
      </c>
      <c r="L4" s="17">
        <v>0</v>
      </c>
      <c r="M4" s="17">
        <v>0</v>
      </c>
      <c r="N4" s="17">
        <v>0</v>
      </c>
      <c r="O4" s="17">
        <v>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Bargara Cash Summary</vt:lpstr>
      <vt:lpstr>Bargara Cash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Amanda Shield</dc:creator>
  <cp:lastModifiedBy>Amanda Shield</cp:lastModifiedBy>
  <dcterms:created xsi:type="dcterms:W3CDTF">2024-12-30T04:50:03Z</dcterms:created>
  <dcterms:modified xsi:type="dcterms:W3CDTF">2025-01-04T04:21:11Z</dcterms:modified>
</cp:coreProperties>
</file>